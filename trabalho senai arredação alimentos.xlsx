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4adef3339fe280/Documentos/"/>
    </mc:Choice>
  </mc:AlternateContent>
  <xr:revisionPtr revIDLastSave="0" documentId="8_{58EB8F02-857B-4A57-9668-BC0943E61E05}" xr6:coauthVersionLast="47" xr6:coauthVersionMax="47" xr10:uidLastSave="{00000000-0000-0000-0000-000000000000}"/>
  <bookViews>
    <workbookView xWindow="-108" yWindow="-108" windowWidth="23256" windowHeight="12456" xr2:uid="{3BEFB75E-B1EB-472C-9797-60A56E71D840}"/>
  </bookViews>
  <sheets>
    <sheet name="Planejamento" sheetId="1" r:id="rId1"/>
    <sheet name="Organização" sheetId="2" r:id="rId2"/>
    <sheet name="Direção" sheetId="3" r:id="rId3"/>
    <sheet name="Controle" sheetId="4" r:id="rId4"/>
    <sheet name="Planilha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5" l="1"/>
  <c r="I8" i="5" s="1"/>
  <c r="F9" i="5"/>
  <c r="I9" i="5" s="1"/>
  <c r="F10" i="5"/>
  <c r="H10" i="5" s="1"/>
  <c r="F11" i="5"/>
  <c r="I11" i="5" s="1"/>
  <c r="F12" i="5"/>
  <c r="H12" i="5" s="1"/>
  <c r="F13" i="5"/>
  <c r="H13" i="5" s="1"/>
  <c r="B14" i="5"/>
  <c r="C14" i="5"/>
  <c r="D14" i="5"/>
  <c r="E14" i="5"/>
  <c r="G14" i="5"/>
  <c r="F14" i="5" l="1"/>
  <c r="I13" i="5"/>
  <c r="I12" i="5"/>
  <c r="I14" i="5"/>
  <c r="H14" i="5"/>
  <c r="H11" i="5"/>
  <c r="H9" i="5"/>
  <c r="H8" i="5"/>
  <c r="I10" i="5"/>
</calcChain>
</file>

<file path=xl/sharedStrings.xml><?xml version="1.0" encoding="utf-8"?>
<sst xmlns="http://schemas.openxmlformats.org/spreadsheetml/2006/main" count="264" uniqueCount="217">
  <si>
    <t>PROJETO INTEGRADO: GESTÃO E ORGANIZAÇÃO DE CAMPANHA INTERNA DE ALIMENTOS</t>
  </si>
  <si>
    <t>Campo / Dimensão</t>
  </si>
  <si>
    <t>Detalhamento do Planejamento Administrativo</t>
  </si>
  <si>
    <t>Nome da Campanha</t>
  </si>
  <si>
    <t>Campanha Solidariedade em Ação - Indústria Unida</t>
  </si>
  <si>
    <t>Contexto da Ação</t>
  </si>
  <si>
    <t>Campanha social interna organizada pelo setor administrativo para arrecadação de alimentos não perecíveis.</t>
  </si>
  <si>
    <t>Função Administrativa</t>
  </si>
  <si>
    <t>Etapa 1: Planejamento</t>
  </si>
  <si>
    <t>Objetivo Geral</t>
  </si>
  <si>
    <t>Engajar os colaboradores de todos os turnos e setores da indústria na arrecadação voluntária de alimentos.</t>
  </si>
  <si>
    <t>Período de Realização</t>
  </si>
  <si>
    <t>01/10/2026 a 30/10/2026 (Duração total de 30 dias corridos)</t>
  </si>
  <si>
    <t>Público-Alvo</t>
  </si>
  <si>
    <t>100% dos colaboradores da empresa (Operação / Chão de Fábrica, Logística, Manutenção, Administrativo e Gestão)</t>
  </si>
  <si>
    <t>Meta Quantitativa Global</t>
  </si>
  <si>
    <t>600 kg de alimentos não perecíveis (equivalente a 60 cestas básicas padronizadas de 10 kg)</t>
  </si>
  <si>
    <t>Meta de Engajamento</t>
  </si>
  <si>
    <t>Atingir no mínimo 75% de participação ativa dos colaboradores da planta</t>
  </si>
  <si>
    <t>Materiais e Recursos Necessários</t>
  </si>
  <si>
    <t>4 caixas organizadoras plásticas para postos de coleta; 25 cartazes coloridos A3; fita zebrada/demarcatória de piso.</t>
  </si>
  <si>
    <t>Ações Principais a Realizar</t>
  </si>
  <si>
    <t>1. Reunião de kick-off com lideranças;
2. Confecção e posicionamento dos pontos de coleta;
3. Lançamento e divulgação ampla (DDS, murais e e-mails); 
4. Pesagens parciais e atualização semanal do termômetro de arrecadação; 
5. Triagem e conferência de validade; 6. Encerramento, prestação de contas e entrega solene.</t>
  </si>
  <si>
    <t>PLANO DE AÇÃO OPERACIONAL - METODOLOGIA 5W2H (30 DIAS)</t>
  </si>
  <si>
    <t>ID</t>
  </si>
  <si>
    <t>O que fazer? (What)</t>
  </si>
  <si>
    <t>Por que fazer? (Why)</t>
  </si>
  <si>
    <t>Onde fazer? (Where)</t>
  </si>
  <si>
    <t>Quando fazer? (When)</t>
  </si>
  <si>
    <t>Quem fará? (Who)</t>
  </si>
  <si>
    <t>Como fazer? (How)</t>
  </si>
  <si>
    <t>Custo Estimado (How much)</t>
  </si>
  <si>
    <t>Status</t>
  </si>
  <si>
    <t>A01</t>
  </si>
  <si>
    <t>Reunião de alinhamento e kick-off</t>
  </si>
  <si>
    <t>Definir responsabilidades e validar cronograma geral</t>
  </si>
  <si>
    <t>Sala de Reuniões 02 / Presencial</t>
  </si>
  <si>
    <t>01/10/2026</t>
  </si>
  <si>
    <t>Equipe do Projeto e Gestor</t>
  </si>
  <si>
    <t>Apresentação de slides e validação com as lideranças</t>
  </si>
  <si>
    <t>R$ 0,00</t>
  </si>
  <si>
    <t>Concluído</t>
  </si>
  <si>
    <t>A02</t>
  </si>
  <si>
    <t>Confecção e montagem dos pontos de coleta</t>
  </si>
  <si>
    <t>Garantir pontos visíveis e acessíveis para doações</t>
  </si>
  <si>
    <t>Recepção, Refeitório e Vestiários</t>
  </si>
  <si>
    <t>02/10/2026</t>
  </si>
  <si>
    <t>Assistente Administrativo 1</t>
  </si>
  <si>
    <t>Identificar caixas coletoras com cartazes e fitas adesivas</t>
  </si>
  <si>
    <t>R$ 85,00</t>
  </si>
  <si>
    <t>A03</t>
  </si>
  <si>
    <t>Lançamento oficial da campanha</t>
  </si>
  <si>
    <t>Disseminar a meta de 600 kg para todos os colaboradores</t>
  </si>
  <si>
    <t>Canais digitais e murais da fábrica</t>
  </si>
  <si>
    <t>05/10/2026</t>
  </si>
  <si>
    <t>Assistente Administrativo 2</t>
  </si>
  <si>
    <t>Envio de comunicado via e-mail corporativo e afixação de cartazes</t>
  </si>
  <si>
    <t>R$ 45,00</t>
  </si>
  <si>
    <t>A04</t>
  </si>
  <si>
    <t>Alinhamento nos DDS das equipes operacionais</t>
  </si>
  <si>
    <t>Engajar diretamente os operadores e técnicos de chão de fábrica</t>
  </si>
  <si>
    <t>Linhas de produção / Manutenção</t>
  </si>
  <si>
    <t>06/10/2026</t>
  </si>
  <si>
    <t>Supervisores e Ass. Administrativo 2</t>
  </si>
  <si>
    <t>Apresentação rápida de 5 minutos reforçando os itens prioritários</t>
  </si>
  <si>
    <t>A05</t>
  </si>
  <si>
    <t>1ª Pesagem parcial e triagem de qualidade</t>
  </si>
  <si>
    <t>Conferir o ritmo inicial e descartar itens fora da validade</t>
  </si>
  <si>
    <t>Almoxarifado Central</t>
  </si>
  <si>
    <t>09/10/2026</t>
  </si>
  <si>
    <t>Assistente Administrativo 1 e 3</t>
  </si>
  <si>
    <t>Coleta nos postos, pesagem na balança digital e registro em planilha</t>
  </si>
  <si>
    <t>A06</t>
  </si>
  <si>
    <t>Divulgação do 1º Termômetro de Arrecadação</t>
  </si>
  <si>
    <t>Estimular a continuidade das doações mostrando o progresso</t>
  </si>
  <si>
    <t>Mural do refeitório e TV Corporativa</t>
  </si>
  <si>
    <t>13/10/2026</t>
  </si>
  <si>
    <t>Atualização da arte visual com percentual alcançado na 1ª semana</t>
  </si>
  <si>
    <t>A07</t>
  </si>
  <si>
    <t>2ª Pesagem parcial e contagem intermediária</t>
  </si>
  <si>
    <t>Monitorar o fluxo de arrecadação do meio da campanha</t>
  </si>
  <si>
    <t>16/10/2026</t>
  </si>
  <si>
    <t>Recolhimento dos postos, nova pesagem e estocagem em caixas seguras</t>
  </si>
  <si>
    <t>A08</t>
  </si>
  <si>
    <t>Divulgação do 2º Termômetro e ranking de setores</t>
  </si>
  <si>
    <t>Fomentar a competição saudável (Gincana Solidária)</t>
  </si>
  <si>
    <t>Mural do refeitório e e-mail</t>
  </si>
  <si>
    <t>20/10/2026</t>
  </si>
  <si>
    <t>Publicação de ranking parcial mostrando qual setor arrecadou mais</t>
  </si>
  <si>
    <t>A09</t>
  </si>
  <si>
    <t>3ª Pesagem parcial e balanço da reta final</t>
  </si>
  <si>
    <t>Identificar se a meta global está próxima de ser atingida</t>
  </si>
  <si>
    <t>23/10/2026</t>
  </si>
  <si>
    <t>Pesagem dos itens acumulados e revisão dos prazos de validade</t>
  </si>
  <si>
    <t>A10</t>
  </si>
  <si>
    <t>Campanha de Contagem Regressiva (Últimos 4 dias)</t>
  </si>
  <si>
    <t>Incentivar as últimas doações para superar o objetivo</t>
  </si>
  <si>
    <t>Mural, WhatsApp institucional e e-mail</t>
  </si>
  <si>
    <t>26/10/2026</t>
  </si>
  <si>
    <t>Divulgação do sprint final: faltam poucos quilos para bater a meta</t>
  </si>
  <si>
    <t>A11</t>
  </si>
  <si>
    <t>Pesagem final, triagem rigorosa e empacotamento</t>
  </si>
  <si>
    <t>Consolidar o volume total e montar as cestas básicas</t>
  </si>
  <si>
    <t>Almoxarifado Geral</t>
  </si>
  <si>
    <t>30/10/2026</t>
  </si>
  <si>
    <t>Equipe Completa de Assistentes</t>
  </si>
  <si>
    <t>Conferência final de pesos, separação por tipo e montagem de cestas</t>
  </si>
  <si>
    <t>R$ 60,00</t>
  </si>
  <si>
    <t>A12</t>
  </si>
  <si>
    <t>Cerimônia de entrega e prestação de contas</t>
  </si>
  <si>
    <t>Transparência com os colaboradores e entrega beneficente</t>
  </si>
  <si>
    <t>Auditório da Empresa e Instituição</t>
  </si>
  <si>
    <t>03/11/2026</t>
  </si>
  <si>
    <t>Equipe do Projeto, Gestor e RH</t>
  </si>
  <si>
    <t>Apresentação dos resultados em reunião geral e entrega física dos alimentos</t>
  </si>
  <si>
    <t>MATRIZ DE RESPONSABILIDADES DA EQUIPE (ORGANIZAÇÃO)</t>
  </si>
  <si>
    <t>Membro / Integrante</t>
  </si>
  <si>
    <t>Função no Projeto</t>
  </si>
  <si>
    <t>Setor Envolvido</t>
  </si>
  <si>
    <t>Principais Responsabilidades</t>
  </si>
  <si>
    <t>Entregáveis / Resultados Esperados</t>
  </si>
  <si>
    <t>Líder de Infraestrutura e Logística</t>
  </si>
  <si>
    <t>Administrativo / Logística</t>
  </si>
  <si>
    <t>Mapear pontos estratégicos de coleta, confeccionar caixas, 
recolher doações periodicamente e organizar estocagem no almoxarifado.</t>
  </si>
  <si>
    <t>Líder de Comunicação e Engajamento</t>
  </si>
  <si>
    <t>Comunicação Interna / RH</t>
  </si>
  <si>
    <t>Desenvolver peças gráficas e cartazes, redigir comunicados, 
disparar e-mails, abastecer murais e atualizar termômetros semanais.</t>
  </si>
  <si>
    <t>Assistente Administrativo 3</t>
  </si>
  <si>
    <t>Líder de Controle e Qualidade</t>
  </si>
  <si>
    <t>Administrativo / Controladoria</t>
  </si>
  <si>
    <t>Assistente Administrativo 4</t>
  </si>
  <si>
    <t>Líder de Articulação e Destinação</t>
  </si>
  <si>
    <t>Administrativo / Responsabilidade Social</t>
  </si>
  <si>
    <t>Gestor Administrativo</t>
  </si>
  <si>
    <t>Sponsor / Patrocinador do Projeto</t>
  </si>
  <si>
    <t>Gerência Administrativa</t>
  </si>
  <si>
    <t>Supervisores de Produção</t>
  </si>
  <si>
    <t>Multiplicadores Setoriais</t>
  </si>
  <si>
    <t>Fábrica / Manutenção / Expedição</t>
  </si>
  <si>
    <t>CRONOGRAMA DE COMUNICAÇÃO E ENGAJAMENTO (DIREÇÃO)</t>
  </si>
  <si>
    <t>Data de Execução</t>
  </si>
  <si>
    <t>Canal de Comunicação</t>
  </si>
  <si>
    <t>Mensagem-Chave / Conteúdo</t>
  </si>
  <si>
    <t>Objetivo Estratégico</t>
  </si>
  <si>
    <t>Responsável</t>
  </si>
  <si>
    <t>E-mail Geral + Cartazes Murais</t>
  </si>
  <si>
    <t>Todos os Colaboradores</t>
  </si>
  <si>
    <t>Lançamento Oficial: Por que estamos arrecadando, qual a meta (600 kg) e onde estão os pontos de coleta.</t>
  </si>
  <si>
    <t>Gerar conscientização inicial e abertura oficial da campanha.</t>
  </si>
  <si>
    <t>Ass. Administrativo 2</t>
  </si>
  <si>
    <t>DDS (Diálogo Diário de Segurança)</t>
  </si>
  <si>
    <t>Chão de Fábrica e Oficinas</t>
  </si>
  <si>
    <t>Orientações Práticas: O que pode ser doado (arroz, feijão, macarrão, leite em pó, óleo) e cuidados com a embalagem.</t>
  </si>
  <si>
    <t>Esclarecer dúvidas operacionais e garantir participação da linha de frente.</t>
  </si>
  <si>
    <t>Supervisores + Ass. 2</t>
  </si>
  <si>
    <t>TV Corporativa e WhatsApp Institucional</t>
  </si>
  <si>
    <t>Agradecimento aos primeiros doadores e convite para montagem de cestas conjuntas entre colegas de turno.</t>
  </si>
  <si>
    <t>Manter a campanha em evidência na rotina diária.</t>
  </si>
  <si>
    <t>Mural Físico do Refeitório</t>
  </si>
  <si>
    <t>Divulgação do Termômetro 1: Atingimos 145 kg na 1ª semana! Fábrica lidera a gincana!</t>
  </si>
  <si>
    <t>Motivar pelo reconhecimento e pelo senso de colaboração coletiva.</t>
  </si>
  <si>
    <t>Mural Físico e TV Corporativa</t>
  </si>
  <si>
    <t>Termômetro 2: Já alcançamos 360 kg (60% da meta)! Faltam 240 kg para atingir nosso objetivo solidário!</t>
  </si>
  <si>
    <t>Demonstrar resultado tangível e reforçar que a meta é plenamente viável.</t>
  </si>
  <si>
    <t>E-mail Geral, Murais e WhatsApp</t>
  </si>
  <si>
    <t>Contagem Regressiva: Faltam apenas 4 dias! Traga sua doação nesta reta final e ajude a bater a meta!</t>
  </si>
  <si>
    <t>Criar senso de urgência e mobilizar as últimas contribuições.</t>
  </si>
  <si>
    <t>Informativo Geral nos Murais</t>
  </si>
  <si>
    <t>Encerramento das Coletas: Caixas sendo recolhidas hoje às 17h para triagem e pesagem final consolidada.</t>
  </si>
  <si>
    <t>Informar encerramento formal da etapa de coleta.</t>
  </si>
  <si>
    <t>Comunicado Oficial e Painéis TV</t>
  </si>
  <si>
    <t>Toda a Empresa e Diretoria</t>
  </si>
  <si>
    <t>Resultado Final: Meta Superada! 720 kg arrecadados! Fotos da entrega à instituição e nosso sincero obrigado!</t>
  </si>
  <si>
    <t>Transparência, prestação de contas e valorização de todos os colaboradores.</t>
  </si>
  <si>
    <t>PAINEL DE CONTROLE DE ARRECADAÇÃO E INDICADORES (CONTROLE)</t>
  </si>
  <si>
    <t>Categoria / Tipo de Alimento</t>
  </si>
  <si>
    <t>Semana 1 (kg)</t>
  </si>
  <si>
    <t>Semana 2 (kg)</t>
  </si>
  <si>
    <t>Semana 3 (kg)</t>
  </si>
  <si>
    <t>Semana 4 (kg)</t>
  </si>
  <si>
    <t>Total Realizado (kg)</t>
  </si>
  <si>
    <t>Meta Planejada (kg)</t>
  </si>
  <si>
    <t>% Atingido</t>
  </si>
  <si>
    <t>Situação</t>
  </si>
  <si>
    <t>Arroz (kg)</t>
  </si>
  <si>
    <t>Feijão (kg)</t>
  </si>
  <si>
    <t>Macarrão (kg)</t>
  </si>
  <si>
    <t>Óleo de Soja (litros/kg)</t>
  </si>
  <si>
    <t>Leite em Pó / Líquido (kg/L)</t>
  </si>
  <si>
    <t xml:space="preserve">Outros Alimentos Não Perecíveis </t>
  </si>
  <si>
    <t>TOTAL GERAL ARRECADADO (KG)</t>
  </si>
  <si>
    <t>INDICADORES GERAIS DE MONITORAMENTO E DESEMPENHO</t>
  </si>
  <si>
    <t>Semana 1</t>
  </si>
  <si>
    <t>Semana 2</t>
  </si>
  <si>
    <t>Semana 3</t>
  </si>
  <si>
    <t>Semana 4</t>
  </si>
  <si>
    <t>Resultado Consolidado</t>
  </si>
  <si>
    <t>Avaliação de Eficácia</t>
  </si>
  <si>
    <t>Avaliação de Eficácia2</t>
  </si>
  <si>
    <t>Número de Colaboradores 
Participantes</t>
  </si>
  <si>
    <t>Meta de engajamento superada (+28%)</t>
  </si>
  <si>
    <t>Taxa de Adesão do Quadro Geral 
de Funcionários</t>
  </si>
  <si>
    <t>Participação ampla de todos os setores</t>
  </si>
  <si>
    <t>Cumprimento das Atividades do 
Cronograma (5W2H)</t>
  </si>
  <si>
    <t>100% das tarefas executadas no prazo</t>
  </si>
  <si>
    <t>Itens Descartados por Validade 
Vencida / Danos (kg)</t>
  </si>
  <si>
    <t>Excelente controle e triagem</t>
  </si>
  <si>
    <t>Operar a balança, conferir validades e integridade das embalagens, lançar 
pesagens semanais na planilha e acompanhar métricas.</t>
  </si>
  <si>
    <t>Contatar a instituição beneficiada, checar demandas prioritárias de alimentos,
 agendar transporte de entrega e emitir termo de doação.</t>
  </si>
  <si>
    <t>Validar o orçamento, aprovar materiais de divulgação, homologar
o plano e negociar liberações com outras gerências.</t>
  </si>
  <si>
    <t>Incentivar as equipes de turno, ceder 5 minutos do DDS para divulgações e
 garantir que as caixas da produção permaneçam preservadas.</t>
  </si>
  <si>
    <t>Postos instalados; logística de 
movimentação interna e segurança dos itens estocados.</t>
  </si>
  <si>
    <t>Comunicação visual ativa; avisos
 afixados; boletins semanais publicados.</t>
  </si>
  <si>
    <t>Planilha de dados atualizada; 
relatórios de pesagem e indicadores de desempenho.</t>
  </si>
  <si>
    <t>Ofício de destinação; termo de entrega 
e recebimento assinado; registro fotográfico.</t>
  </si>
  <si>
    <t>Aprovação institucional; liberação de 
recursos; apoio executivo.</t>
  </si>
  <si>
    <t>Engajamento dos operadores; alta 
adesão do efetivo fabril.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</si>
</sst>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i/>
      <sz val="12"/>
      <color theme="0"/>
      <name val="Aptos Narrow"/>
      <family val="2"/>
      <scheme val="minor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Aptos Narrow"/>
      <family val="2"/>
      <scheme val="minor"/>
    </font>
    <font>
      <sz val="10"/>
      <name val="Calibri"/>
      <family val="2"/>
    </font>
    <font>
      <b/>
      <sz val="11"/>
      <color rgb="FFFFFFFF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347A7"/>
        <bgColor indexed="64"/>
      </patternFill>
    </fill>
    <fill>
      <patternFill patternType="solid">
        <fgColor rgb="FFF2F5F9"/>
        <bgColor rgb="FFF2F5F9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rgb="FF1F497D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  <diagonal/>
    </border>
    <border>
      <left/>
      <right/>
      <top style="medium">
        <color rgb="FF1F497D"/>
      </top>
      <bottom style="medium">
        <color rgb="FF1F497D"/>
      </bottom>
      <diagonal/>
    </border>
    <border>
      <left/>
      <right style="thin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FFFFFF"/>
      </right>
      <top style="medium">
        <color rgb="FF1F497D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0" fillId="2" borderId="0" xfId="0" applyFill="1"/>
    <xf numFmtId="0" fontId="2" fillId="0" borderId="1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4" fillId="6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6" borderId="9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8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4" fontId="5" fillId="3" borderId="2" xfId="0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5" borderId="0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top style="thin">
          <color theme="4" tint="0.39997558519241921"/>
        </top>
        <bottom style="thin">
          <color rgb="FFD9D9D9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m/d/yyyy"/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top style="thin">
          <color theme="4" tint="0.39997558519241921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rgb="FF1F497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sz val="10"/>
        <color auto="1"/>
        <name val="Calibri"/>
        <family val="2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F2F5F9"/>
          <bgColor rgb="FFF2F5F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</dxfs>
  <tableStyles count="0" defaultTableStyle="TableStyleMedium2" defaultPivotStyle="PivotStyleLight16"/>
  <colors>
    <mruColors>
      <color rgb="FF034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1036319</xdr:colOff>
      <xdr:row>5</xdr:row>
      <xdr:rowOff>4014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06FE20-4793-E110-D4A3-26D6EBEC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319" cy="9184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417194</xdr:colOff>
      <xdr:row>4</xdr:row>
      <xdr:rowOff>137364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73A972-913D-41FE-B6D8-1A2962918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319" cy="9184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1303020</xdr:colOff>
      <xdr:row>4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8EA8FB-5E70-4860-8175-45A127E0D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03019" cy="853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1036319</xdr:colOff>
      <xdr:row>4</xdr:row>
      <xdr:rowOff>146889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513E3E-0BE0-4C92-98BF-E0FAD44A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319" cy="9184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1036319</xdr:colOff>
      <xdr:row>4</xdr:row>
      <xdr:rowOff>146889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1CE44E-3EE4-467B-88D1-D3E2DE4FE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319" cy="8784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12D41C-ED20-40B2-95EC-7FD752EA6475}" name="Tabela2" displayName="Tabela2" ref="A8:B18" totalsRowShown="0" headerRowDxfId="45" dataDxfId="44">
  <autoFilter ref="A8:B18" xr:uid="{3912D41C-ED20-40B2-95EC-7FD752EA6475}"/>
  <tableColumns count="2">
    <tableColumn id="1" xr3:uid="{C803ACB6-2FC1-470F-BCC1-2B2E2AC8DF21}" name="Campo / Dimensão" dataDxfId="43"/>
    <tableColumn id="4" xr3:uid="{E7EA1A7A-15E2-456D-9B10-2EABCDD4DBFA}" name="Detalhamento do Planejamento Administrativo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E211A7-28CA-43DB-995C-4E83EF57473C}" name="Tabela3" displayName="Tabela3" ref="A7:I19" totalsRowShown="0" headerRowDxfId="41" dataDxfId="39" headerRowBorderDxfId="40" tableBorderDxfId="38" totalsRowBorderDxfId="37">
  <autoFilter ref="A7:I19" xr:uid="{A1E211A7-28CA-43DB-995C-4E83EF57473C}"/>
  <tableColumns count="9">
    <tableColumn id="1" xr3:uid="{6FF8A2E2-9C6A-4903-BE4F-EE2506E9F026}" name="ID" dataDxfId="36"/>
    <tableColumn id="2" xr3:uid="{7C6E4B50-F1A5-488C-95B0-C8476C2115C2}" name="O que fazer? (What)" dataDxfId="35"/>
    <tableColumn id="3" xr3:uid="{830636AF-231E-48B3-B89B-E80CBECCBC3B}" name="Por que fazer? (Why)" dataDxfId="34"/>
    <tableColumn id="4" xr3:uid="{09C1101B-64DB-4EC1-9536-090AAB118A52}" name="Onde fazer? (Where)" dataDxfId="33"/>
    <tableColumn id="5" xr3:uid="{BC3B5F5F-4346-441B-9BEE-507E69D387FE}" name="Quando fazer? (When)" dataDxfId="32"/>
    <tableColumn id="6" xr3:uid="{6C43A3D6-325B-46F2-95F5-2B0DD24DBA88}" name="Quem fará? (Who)" dataDxfId="31"/>
    <tableColumn id="7" xr3:uid="{4C9D71E0-FEBB-43C9-9E48-04896D4BD98D}" name="Como fazer? (How)" dataDxfId="30"/>
    <tableColumn id="8" xr3:uid="{9C0494DF-0397-46FC-8BBE-E59DE8AB8918}" name="Custo Estimado (How much)" dataDxfId="29"/>
    <tableColumn id="9" xr3:uid="{10F14526-6B1C-4FC7-B40A-63ACF8281972}" name="Status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C9BCEB-5258-45D4-9FBB-848FF4235EE8}" name="Tabela5" displayName="Tabela5" ref="A8:E14" totalsRowShown="0" headerRowDxfId="47" dataDxfId="46">
  <autoFilter ref="A8:E14" xr:uid="{98C9BCEB-5258-45D4-9FBB-848FF4235EE8}"/>
  <tableColumns count="5">
    <tableColumn id="1" xr3:uid="{D237EA43-B8B6-4842-B4D5-8C775FE5082C}" name="Membro / Integrante" dataDxfId="5"/>
    <tableColumn id="2" xr3:uid="{FE59DF72-22A4-4D63-A852-572A38A63967}" name="Função no Projeto" dataDxfId="4"/>
    <tableColumn id="3" xr3:uid="{B90E86C1-3739-4D83-AC19-D36F4C574A09}" name="Setor Envolvido" dataDxfId="3"/>
    <tableColumn id="4" xr3:uid="{39F12583-F457-4733-A8EB-94AD465F39DC}" name="Principais Responsabilidades" dataDxfId="2"/>
    <tableColumn id="5" xr3:uid="{C21CE78E-F776-4A49-97D5-007BE5697972}" name="Entregáveis / Resultados Esperado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FD4E0-E69C-4F73-8894-02582A12D68C}" name="Tabela1" displayName="Tabela1" ref="A7:F15" totalsRowShown="0" headerRowDxfId="0" dataDxfId="27">
  <autoFilter ref="A7:F15" xr:uid="{EECFD4E0-E69C-4F73-8894-02582A12D68C}"/>
  <tableColumns count="6">
    <tableColumn id="1" xr3:uid="{8C77F79A-A15F-4767-AE3E-98C55803E81D}" name="Data de Execução" dataDxfId="26"/>
    <tableColumn id="2" xr3:uid="{54A6C9CA-DFF4-4BA4-8D2D-45A54556AB08}" name="Canal de Comunicação" dataDxfId="25"/>
    <tableColumn id="3" xr3:uid="{1C0D3068-71FE-49F4-AC29-D865ACE6F291}" name="Público-Alvo" dataDxfId="24"/>
    <tableColumn id="4" xr3:uid="{555857FB-C2B7-4687-B656-5AC8484D4BF4}" name="Mensagem-Chave / Conteúdo" dataDxfId="23"/>
    <tableColumn id="5" xr3:uid="{509CAB33-4820-49D3-9897-8284AD731057}" name="Objetivo Estratégico" dataDxfId="22"/>
    <tableColumn id="6" xr3:uid="{EA982195-C41E-4CEA-959A-4EF68218AFCB}" name="Responsável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2FFEFE-F97D-4BEF-BA60-5C355E841877}" name="Tabela7" displayName="Tabela7" ref="A7:I14" totalsRowShown="0" headerRowDxfId="20" headerRowBorderDxfId="19" tableBorderDxfId="18" totalsRowBorderDxfId="17">
  <autoFilter ref="A7:I14" xr:uid="{482FFEFE-F97D-4BEF-BA60-5C355E841877}"/>
  <tableColumns count="9">
    <tableColumn id="1" xr3:uid="{57ABDB80-238E-4156-B22C-2EB530A4CDE7}" name="Categoria / Tipo de Alimento"/>
    <tableColumn id="2" xr3:uid="{3ADCA452-9ABE-444A-962B-20659725BE30}" name="Semana 1 (kg)" dataDxfId="16"/>
    <tableColumn id="3" xr3:uid="{CC262D65-3609-4EEE-90C7-DBE32BB52EA2}" name="Semana 2 (kg)" dataDxfId="15"/>
    <tableColumn id="4" xr3:uid="{34CA41A7-B3B4-4CF2-89AD-5B320DF5C115}" name="Semana 3 (kg)" dataDxfId="14"/>
    <tableColumn id="5" xr3:uid="{3733EF6B-E597-4CC4-8073-4CF1E5AEC888}" name="Semana 4 (kg)" dataDxfId="13"/>
    <tableColumn id="6" xr3:uid="{631C9753-18AA-4B81-B70F-D74B0D596497}" name="Total Realizado (kg)" dataDxfId="12">
      <calculatedColumnFormula>SUM(B8:E8)</calculatedColumnFormula>
    </tableColumn>
    <tableColumn id="7" xr3:uid="{D43D90B4-4C9B-473B-A36C-8ADB972B6BC0}" name="Meta Planejada (kg)" dataDxfId="11"/>
    <tableColumn id="8" xr3:uid="{7A1617BC-8EFF-425D-A086-2A9E1DF6FE30}" name="% Atingido" dataDxfId="10">
      <calculatedColumnFormula>F8/G8</calculatedColumnFormula>
    </tableColumn>
    <tableColumn id="9" xr3:uid="{D7A957D2-12B0-42F4-9E4A-67A91B2DD67C}" name="Situação" dataDxfId="9">
      <calculatedColumnFormula>IF(F8&gt;=G8, "Meta Atingida", "Abaixo da Meta")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9C4814-C36D-4CAD-8156-053D7D397A54}" name="Tabela10" displayName="Tabela10" ref="A19:H23" totalsRowShown="0" headerRowDxfId="8" headerRowBorderDxfId="7" tableBorderDxfId="6">
  <autoFilter ref="A19:H23" xr:uid="{FE9C4814-C36D-4CAD-8156-053D7D397A54}"/>
  <tableColumns count="8">
    <tableColumn id="1" xr3:uid="{4FC6B254-8B63-494E-80B7-82F2444F5294}" name="Categoria / Tipo de Alimento"/>
    <tableColumn id="2" xr3:uid="{8DD7B318-43EA-4DAB-8FFC-12A53A632ABA}" name="Semana 1"/>
    <tableColumn id="3" xr3:uid="{0D88E531-E05E-4E72-A24A-464026F708A6}" name="Semana 2"/>
    <tableColumn id="4" xr3:uid="{BE5DA5E9-6BCC-46BB-964C-C85A5D7756BD}" name="Semana 3"/>
    <tableColumn id="5" xr3:uid="{ACBB0778-3A26-4DA2-AE0B-0C374023476C}" name="Semana 4"/>
    <tableColumn id="6" xr3:uid="{0655D2CF-AB16-4323-9AFD-7D81E1BFE7CD}" name="Resultado Consolidado"/>
    <tableColumn id="7" xr3:uid="{F9E70E46-1F2D-4A21-B429-6DDEACDB5A7F}" name="Avaliação de Eficácia"/>
    <tableColumn id="8" xr3:uid="{D9F2FC64-F013-4F98-B878-9E77D05B2309}" name="Avaliação de Eficáci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644E-5B0C-4772-AE63-7961E7A8E280}">
  <sheetPr>
    <tabColor theme="6" tint="0.39997558519241921"/>
  </sheetPr>
  <dimension ref="A1:L18"/>
  <sheetViews>
    <sheetView tabSelected="1" topLeftCell="A4" workbookViewId="0">
      <selection activeCell="B10" sqref="B10"/>
    </sheetView>
  </sheetViews>
  <sheetFormatPr defaultRowHeight="14.4" x14ac:dyDescent="0.3"/>
  <cols>
    <col min="1" max="1" width="27" bestFit="1" customWidth="1"/>
    <col min="2" max="2" width="90.5546875" bestFit="1" customWidth="1"/>
    <col min="3" max="3" width="9.6640625" customWidth="1"/>
  </cols>
  <sheetData>
    <row r="1" spans="1:12" ht="14.4" customHeight="1" x14ac:dyDescent="0.3">
      <c r="A1" s="29" t="s">
        <v>0</v>
      </c>
      <c r="B1" s="29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4.4" customHeight="1" x14ac:dyDescent="0.3">
      <c r="A2" s="29"/>
      <c r="B2" s="29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4" customHeight="1" x14ac:dyDescent="0.3">
      <c r="A3" s="29"/>
      <c r="B3" s="29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4" customHeight="1" x14ac:dyDescent="0.3">
      <c r="A4" s="29"/>
      <c r="B4" s="29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4" customHeight="1" x14ac:dyDescent="0.3">
      <c r="A5" s="29"/>
      <c r="B5" s="29"/>
      <c r="C5" s="4"/>
      <c r="D5" s="4"/>
      <c r="E5" s="4"/>
      <c r="F5" s="4"/>
      <c r="G5" s="4"/>
      <c r="H5" s="4"/>
      <c r="I5" s="4"/>
      <c r="J5" s="4"/>
      <c r="K5" s="4"/>
      <c r="L5" s="4"/>
    </row>
    <row r="8" spans="1:12" ht="28.95" customHeight="1" x14ac:dyDescent="0.3">
      <c r="A8" s="1" t="s">
        <v>1</v>
      </c>
      <c r="B8" s="1" t="s">
        <v>2</v>
      </c>
    </row>
    <row r="9" spans="1:12" x14ac:dyDescent="0.3">
      <c r="A9" s="2" t="s">
        <v>3</v>
      </c>
      <c r="B9" s="2" t="s">
        <v>4</v>
      </c>
    </row>
    <row r="10" spans="1:12" x14ac:dyDescent="0.3">
      <c r="A10" s="6" t="s">
        <v>5</v>
      </c>
      <c r="B10" s="6" t="s">
        <v>6</v>
      </c>
    </row>
    <row r="11" spans="1:12" x14ac:dyDescent="0.3">
      <c r="A11" s="2" t="s">
        <v>7</v>
      </c>
      <c r="B11" s="2" t="s">
        <v>8</v>
      </c>
    </row>
    <row r="12" spans="1:12" x14ac:dyDescent="0.3">
      <c r="A12" s="6" t="s">
        <v>9</v>
      </c>
      <c r="B12" s="6" t="s">
        <v>10</v>
      </c>
    </row>
    <row r="13" spans="1:12" x14ac:dyDescent="0.3">
      <c r="A13" s="2" t="s">
        <v>11</v>
      </c>
      <c r="B13" s="2" t="s">
        <v>12</v>
      </c>
    </row>
    <row r="14" spans="1:12" x14ac:dyDescent="0.3">
      <c r="A14" s="6" t="s">
        <v>13</v>
      </c>
      <c r="B14" s="6" t="s">
        <v>14</v>
      </c>
    </row>
    <row r="15" spans="1:12" x14ac:dyDescent="0.3">
      <c r="A15" s="2" t="s">
        <v>15</v>
      </c>
      <c r="B15" s="2" t="s">
        <v>16</v>
      </c>
    </row>
    <row r="16" spans="1:12" x14ac:dyDescent="0.3">
      <c r="A16" s="6" t="s">
        <v>17</v>
      </c>
      <c r="B16" s="6" t="s">
        <v>18</v>
      </c>
    </row>
    <row r="17" spans="1:2" x14ac:dyDescent="0.3">
      <c r="A17" s="2" t="s">
        <v>19</v>
      </c>
      <c r="B17" s="2" t="s">
        <v>20</v>
      </c>
    </row>
    <row r="18" spans="1:2" ht="69" x14ac:dyDescent="0.3">
      <c r="A18" s="6" t="s">
        <v>21</v>
      </c>
      <c r="B18" s="18" t="s">
        <v>22</v>
      </c>
    </row>
  </sheetData>
  <mergeCells count="1">
    <mergeCell ref="A1:B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9CC4-E8CD-4702-96E4-71D1591B2149}">
  <sheetPr>
    <tabColor theme="6" tint="0.39997558519241921"/>
  </sheetPr>
  <dimension ref="A1:K19"/>
  <sheetViews>
    <sheetView zoomScale="70" zoomScaleNormal="70" workbookViewId="0">
      <selection activeCell="D34" sqref="D34"/>
    </sheetView>
  </sheetViews>
  <sheetFormatPr defaultRowHeight="14.4" x14ac:dyDescent="0.3"/>
  <cols>
    <col min="1" max="1" width="9.33203125" customWidth="1"/>
    <col min="2" max="2" width="41.44140625" customWidth="1"/>
    <col min="3" max="3" width="50.5546875" customWidth="1"/>
    <col min="4" max="4" width="31.33203125" customWidth="1"/>
    <col min="5" max="5" width="23.109375" bestFit="1" customWidth="1"/>
    <col min="6" max="6" width="29.33203125" customWidth="1"/>
    <col min="7" max="7" width="68.6640625" customWidth="1"/>
    <col min="8" max="8" width="28" bestFit="1" customWidth="1"/>
    <col min="9" max="9" width="8.5546875" bestFit="1" customWidth="1"/>
  </cols>
  <sheetData>
    <row r="1" spans="1:11" ht="15.75" customHeight="1" x14ac:dyDescent="0.3">
      <c r="A1" s="5"/>
      <c r="B1" s="29" t="s">
        <v>23</v>
      </c>
      <c r="C1" s="29"/>
      <c r="D1" s="29"/>
      <c r="E1" s="29"/>
      <c r="F1" s="29"/>
      <c r="G1" s="29"/>
      <c r="H1" s="29"/>
      <c r="I1" s="29"/>
      <c r="J1" s="7"/>
      <c r="K1" s="7"/>
    </row>
    <row r="2" spans="1:11" x14ac:dyDescent="0.3">
      <c r="A2" s="5"/>
      <c r="B2" s="29"/>
      <c r="C2" s="29"/>
      <c r="D2" s="29"/>
      <c r="E2" s="29"/>
      <c r="F2" s="29"/>
      <c r="G2" s="29"/>
      <c r="H2" s="29"/>
      <c r="I2" s="29"/>
      <c r="J2" s="7"/>
      <c r="K2" s="7"/>
    </row>
    <row r="3" spans="1:11" x14ac:dyDescent="0.3">
      <c r="A3" s="5"/>
      <c r="B3" s="29"/>
      <c r="C3" s="29"/>
      <c r="D3" s="29"/>
      <c r="E3" s="29"/>
      <c r="F3" s="29"/>
      <c r="G3" s="29"/>
      <c r="H3" s="29"/>
      <c r="I3" s="29"/>
      <c r="J3" s="7"/>
      <c r="K3" s="7"/>
    </row>
    <row r="4" spans="1:11" x14ac:dyDescent="0.3">
      <c r="A4" s="5"/>
      <c r="B4" s="29"/>
      <c r="C4" s="29"/>
      <c r="D4" s="29"/>
      <c r="E4" s="29"/>
      <c r="F4" s="29"/>
      <c r="G4" s="29"/>
      <c r="H4" s="29"/>
      <c r="I4" s="29"/>
      <c r="J4" s="7"/>
      <c r="K4" s="7"/>
    </row>
    <row r="5" spans="1:11" x14ac:dyDescent="0.3">
      <c r="A5" s="5"/>
      <c r="B5" s="29"/>
      <c r="C5" s="29"/>
      <c r="D5" s="29"/>
      <c r="E5" s="29"/>
      <c r="F5" s="29"/>
      <c r="G5" s="29"/>
      <c r="H5" s="29"/>
      <c r="I5" s="29"/>
      <c r="J5" s="7"/>
      <c r="K5" s="7"/>
    </row>
    <row r="7" spans="1:11" ht="12.6" customHeight="1" x14ac:dyDescent="0.3">
      <c r="A7" s="3" t="s">
        <v>24</v>
      </c>
      <c r="B7" s="27" t="s">
        <v>25</v>
      </c>
      <c r="C7" s="27" t="s">
        <v>26</v>
      </c>
      <c r="D7" s="27" t="s">
        <v>27</v>
      </c>
      <c r="E7" s="27" t="s">
        <v>28</v>
      </c>
      <c r="F7" s="27" t="s">
        <v>29</v>
      </c>
      <c r="G7" s="27" t="s">
        <v>30</v>
      </c>
      <c r="H7" s="27" t="s">
        <v>31</v>
      </c>
      <c r="I7" s="28" t="s">
        <v>32</v>
      </c>
    </row>
    <row r="8" spans="1:11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</row>
    <row r="9" spans="1:11" x14ac:dyDescent="0.3">
      <c r="A9" s="6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49</v>
      </c>
      <c r="I9" s="6" t="s">
        <v>41</v>
      </c>
    </row>
    <row r="10" spans="1:11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  <c r="H10" s="2" t="s">
        <v>57</v>
      </c>
      <c r="I10" s="2" t="s">
        <v>41</v>
      </c>
    </row>
    <row r="11" spans="1:11" x14ac:dyDescent="0.3">
      <c r="A11" s="6" t="s">
        <v>58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64</v>
      </c>
      <c r="H11" s="6" t="s">
        <v>40</v>
      </c>
      <c r="I11" s="6" t="s">
        <v>41</v>
      </c>
    </row>
    <row r="12" spans="1:11" x14ac:dyDescent="0.3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40</v>
      </c>
      <c r="I12" s="2" t="s">
        <v>41</v>
      </c>
    </row>
    <row r="13" spans="1:11" x14ac:dyDescent="0.3">
      <c r="A13" s="6" t="s">
        <v>72</v>
      </c>
      <c r="B13" s="6" t="s">
        <v>73</v>
      </c>
      <c r="C13" s="6" t="s">
        <v>74</v>
      </c>
      <c r="D13" s="6" t="s">
        <v>75</v>
      </c>
      <c r="E13" s="6" t="s">
        <v>76</v>
      </c>
      <c r="F13" s="6" t="s">
        <v>55</v>
      </c>
      <c r="G13" s="6" t="s">
        <v>77</v>
      </c>
      <c r="H13" s="6" t="s">
        <v>40</v>
      </c>
      <c r="I13" s="6" t="s">
        <v>41</v>
      </c>
    </row>
    <row r="14" spans="1:11" x14ac:dyDescent="0.3">
      <c r="A14" s="2" t="s">
        <v>78</v>
      </c>
      <c r="B14" s="2" t="s">
        <v>79</v>
      </c>
      <c r="C14" s="2" t="s">
        <v>80</v>
      </c>
      <c r="D14" s="2" t="s">
        <v>68</v>
      </c>
      <c r="E14" s="2" t="s">
        <v>81</v>
      </c>
      <c r="F14" s="2" t="s">
        <v>70</v>
      </c>
      <c r="G14" s="2" t="s">
        <v>82</v>
      </c>
      <c r="H14" s="2" t="s">
        <v>40</v>
      </c>
      <c r="I14" s="2" t="s">
        <v>41</v>
      </c>
    </row>
    <row r="15" spans="1:11" x14ac:dyDescent="0.3">
      <c r="A15" s="6" t="s">
        <v>83</v>
      </c>
      <c r="B15" s="6" t="s">
        <v>84</v>
      </c>
      <c r="C15" s="6" t="s">
        <v>85</v>
      </c>
      <c r="D15" s="6" t="s">
        <v>86</v>
      </c>
      <c r="E15" s="6" t="s">
        <v>87</v>
      </c>
      <c r="F15" s="6" t="s">
        <v>55</v>
      </c>
      <c r="G15" s="6" t="s">
        <v>88</v>
      </c>
      <c r="H15" s="6" t="s">
        <v>40</v>
      </c>
      <c r="I15" s="6" t="s">
        <v>41</v>
      </c>
    </row>
    <row r="16" spans="1:11" x14ac:dyDescent="0.3">
      <c r="A16" s="2" t="s">
        <v>89</v>
      </c>
      <c r="B16" s="2" t="s">
        <v>90</v>
      </c>
      <c r="C16" s="2" t="s">
        <v>91</v>
      </c>
      <c r="D16" s="2" t="s">
        <v>68</v>
      </c>
      <c r="E16" s="2" t="s">
        <v>92</v>
      </c>
      <c r="F16" s="2" t="s">
        <v>70</v>
      </c>
      <c r="G16" s="2" t="s">
        <v>93</v>
      </c>
      <c r="H16" s="2" t="s">
        <v>40</v>
      </c>
      <c r="I16" s="2" t="s">
        <v>41</v>
      </c>
    </row>
    <row r="17" spans="1:9" x14ac:dyDescent="0.3">
      <c r="A17" s="6" t="s">
        <v>94</v>
      </c>
      <c r="B17" s="6" t="s">
        <v>95</v>
      </c>
      <c r="C17" s="6" t="s">
        <v>96</v>
      </c>
      <c r="D17" s="6" t="s">
        <v>97</v>
      </c>
      <c r="E17" s="6" t="s">
        <v>98</v>
      </c>
      <c r="F17" s="6" t="s">
        <v>55</v>
      </c>
      <c r="G17" s="6" t="s">
        <v>99</v>
      </c>
      <c r="H17" s="6" t="s">
        <v>40</v>
      </c>
      <c r="I17" s="6" t="s">
        <v>41</v>
      </c>
    </row>
    <row r="18" spans="1:9" x14ac:dyDescent="0.3">
      <c r="A18" s="2" t="s">
        <v>100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  <c r="H18" s="2" t="s">
        <v>107</v>
      </c>
      <c r="I18" s="2" t="s">
        <v>41</v>
      </c>
    </row>
    <row r="19" spans="1:9" x14ac:dyDescent="0.3">
      <c r="A19" s="6" t="s">
        <v>108</v>
      </c>
      <c r="B19" s="6" t="s">
        <v>109</v>
      </c>
      <c r="C19" s="6" t="s">
        <v>110</v>
      </c>
      <c r="D19" s="6" t="s">
        <v>111</v>
      </c>
      <c r="E19" s="6" t="s">
        <v>112</v>
      </c>
      <c r="F19" s="6" t="s">
        <v>113</v>
      </c>
      <c r="G19" s="6" t="s">
        <v>114</v>
      </c>
      <c r="H19" s="6" t="s">
        <v>40</v>
      </c>
      <c r="I19" s="6" t="s">
        <v>41</v>
      </c>
    </row>
  </sheetData>
  <mergeCells count="1">
    <mergeCell ref="B1:I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0C91-9FED-476E-8A9B-7A3C59B89FA2}">
  <sheetPr>
    <tabColor theme="6" tint="0.39997558519241921"/>
  </sheetPr>
  <dimension ref="A1:I14"/>
  <sheetViews>
    <sheetView zoomScale="70" zoomScaleNormal="100" workbookViewId="0">
      <selection activeCell="D21" sqref="D21"/>
    </sheetView>
  </sheetViews>
  <sheetFormatPr defaultRowHeight="14.4" x14ac:dyDescent="0.3"/>
  <cols>
    <col min="1" max="1" width="25.109375" bestFit="1" customWidth="1"/>
    <col min="2" max="2" width="29.88671875" customWidth="1"/>
    <col min="3" max="3" width="32.5546875" bestFit="1" customWidth="1"/>
    <col min="4" max="4" width="72.33203125" customWidth="1"/>
    <col min="5" max="5" width="34.6640625" customWidth="1"/>
    <col min="6" max="7" width="10.88671875" bestFit="1" customWidth="1"/>
    <col min="8" max="8" width="30.6640625" bestFit="1" customWidth="1"/>
    <col min="9" max="9" width="26.44140625" customWidth="1"/>
    <col min="10" max="10" width="30.6640625" bestFit="1" customWidth="1"/>
    <col min="11" max="11" width="12" bestFit="1" customWidth="1"/>
    <col min="12" max="12" width="37.33203125" customWidth="1"/>
  </cols>
  <sheetData>
    <row r="1" spans="1:9" ht="14.4" customHeight="1" x14ac:dyDescent="0.3">
      <c r="A1" s="29" t="s">
        <v>115</v>
      </c>
      <c r="B1" s="29"/>
      <c r="C1" s="29"/>
      <c r="D1" s="29"/>
      <c r="E1" s="29"/>
      <c r="F1" s="35"/>
      <c r="G1" s="35"/>
      <c r="H1" s="35"/>
      <c r="I1" s="35"/>
    </row>
    <row r="2" spans="1:9" ht="14.4" customHeight="1" x14ac:dyDescent="0.3">
      <c r="A2" s="29"/>
      <c r="B2" s="29"/>
      <c r="C2" s="29"/>
      <c r="D2" s="29"/>
      <c r="E2" s="29"/>
      <c r="F2" s="35"/>
      <c r="G2" s="35"/>
      <c r="H2" s="35"/>
      <c r="I2" s="35"/>
    </row>
    <row r="3" spans="1:9" ht="14.4" customHeight="1" x14ac:dyDescent="0.3">
      <c r="A3" s="29"/>
      <c r="B3" s="29"/>
      <c r="C3" s="29"/>
      <c r="D3" s="29"/>
      <c r="E3" s="29"/>
      <c r="F3" s="35"/>
      <c r="G3" s="35"/>
      <c r="H3" s="35"/>
      <c r="I3" s="35"/>
    </row>
    <row r="4" spans="1:9" ht="14.4" customHeight="1" x14ac:dyDescent="0.3">
      <c r="A4" s="29"/>
      <c r="B4" s="29"/>
      <c r="C4" s="29"/>
      <c r="D4" s="29"/>
      <c r="E4" s="29"/>
      <c r="F4" s="35"/>
      <c r="G4" s="35"/>
      <c r="H4" s="35"/>
      <c r="I4" s="35"/>
    </row>
    <row r="5" spans="1:9" ht="14.4" customHeight="1" x14ac:dyDescent="0.3">
      <c r="A5" s="29"/>
      <c r="B5" s="29"/>
      <c r="C5" s="29"/>
      <c r="D5" s="29"/>
      <c r="E5" s="29"/>
      <c r="F5" s="36"/>
      <c r="G5" s="36"/>
      <c r="H5" s="36"/>
      <c r="I5" s="36"/>
    </row>
    <row r="7" spans="1:9" ht="14.25" customHeight="1" x14ac:dyDescent="0.3"/>
    <row r="8" spans="1:9" x14ac:dyDescent="0.3">
      <c r="A8" s="25" t="s">
        <v>116</v>
      </c>
      <c r="B8" s="26" t="s">
        <v>117</v>
      </c>
      <c r="C8" s="26" t="s">
        <v>118</v>
      </c>
      <c r="D8" s="26" t="s">
        <v>119</v>
      </c>
      <c r="E8" s="26" t="s">
        <v>120</v>
      </c>
    </row>
    <row r="9" spans="1:9" ht="41.4" x14ac:dyDescent="0.3">
      <c r="A9" s="2" t="s">
        <v>47</v>
      </c>
      <c r="B9" s="2" t="s">
        <v>121</v>
      </c>
      <c r="C9" s="2" t="s">
        <v>122</v>
      </c>
      <c r="D9" s="17" t="s">
        <v>123</v>
      </c>
      <c r="E9" s="17" t="s">
        <v>211</v>
      </c>
    </row>
    <row r="10" spans="1:9" ht="27.6" x14ac:dyDescent="0.3">
      <c r="A10" s="6" t="s">
        <v>55</v>
      </c>
      <c r="B10" s="6" t="s">
        <v>124</v>
      </c>
      <c r="C10" s="6" t="s">
        <v>125</v>
      </c>
      <c r="D10" s="18" t="s">
        <v>126</v>
      </c>
      <c r="E10" s="18" t="s">
        <v>212</v>
      </c>
    </row>
    <row r="11" spans="1:9" ht="41.4" x14ac:dyDescent="0.3">
      <c r="A11" s="2" t="s">
        <v>127</v>
      </c>
      <c r="B11" s="2" t="s">
        <v>128</v>
      </c>
      <c r="C11" s="2" t="s">
        <v>129</v>
      </c>
      <c r="D11" s="17" t="s">
        <v>207</v>
      </c>
      <c r="E11" s="17" t="s">
        <v>213</v>
      </c>
    </row>
    <row r="12" spans="1:9" ht="41.4" x14ac:dyDescent="0.3">
      <c r="A12" s="6" t="s">
        <v>130</v>
      </c>
      <c r="B12" s="6" t="s">
        <v>131</v>
      </c>
      <c r="C12" s="6" t="s">
        <v>132</v>
      </c>
      <c r="D12" s="18" t="s">
        <v>208</v>
      </c>
      <c r="E12" s="18" t="s">
        <v>214</v>
      </c>
    </row>
    <row r="13" spans="1:9" ht="27.6" x14ac:dyDescent="0.3">
      <c r="A13" s="2" t="s">
        <v>133</v>
      </c>
      <c r="B13" s="2" t="s">
        <v>134</v>
      </c>
      <c r="C13" s="2" t="s">
        <v>135</v>
      </c>
      <c r="D13" s="17" t="s">
        <v>209</v>
      </c>
      <c r="E13" s="17" t="s">
        <v>215</v>
      </c>
    </row>
    <row r="14" spans="1:9" ht="27.6" x14ac:dyDescent="0.3">
      <c r="A14" s="6" t="s">
        <v>136</v>
      </c>
      <c r="B14" s="6" t="s">
        <v>137</v>
      </c>
      <c r="C14" s="6" t="s">
        <v>138</v>
      </c>
      <c r="D14" s="18" t="s">
        <v>210</v>
      </c>
      <c r="E14" s="18" t="s">
        <v>216</v>
      </c>
    </row>
  </sheetData>
  <mergeCells count="1">
    <mergeCell ref="A1:E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7EB6-025E-49FB-B42B-23AF5CFCFB17}">
  <sheetPr>
    <tabColor theme="6" tint="0.39997558519241921"/>
  </sheetPr>
  <dimension ref="A1:F15"/>
  <sheetViews>
    <sheetView zoomScale="70" zoomScaleNormal="70" workbookViewId="0">
      <selection activeCell="D11" sqref="D11"/>
    </sheetView>
  </sheetViews>
  <sheetFormatPr defaultRowHeight="14.4" x14ac:dyDescent="0.3"/>
  <cols>
    <col min="1" max="1" width="23.6640625" customWidth="1"/>
    <col min="2" max="2" width="32.88671875" customWidth="1"/>
    <col min="3" max="3" width="23.5546875" customWidth="1"/>
    <col min="4" max="4" width="106" bestFit="1" customWidth="1"/>
    <col min="5" max="5" width="70" bestFit="1" customWidth="1"/>
    <col min="6" max="6" width="19.5546875" customWidth="1"/>
  </cols>
  <sheetData>
    <row r="1" spans="1:6" x14ac:dyDescent="0.3">
      <c r="A1" s="29" t="s">
        <v>139</v>
      </c>
      <c r="B1" s="29"/>
      <c r="C1" s="29"/>
      <c r="D1" s="29"/>
      <c r="E1" s="29"/>
      <c r="F1" s="29"/>
    </row>
    <row r="2" spans="1:6" x14ac:dyDescent="0.3">
      <c r="A2" s="29"/>
      <c r="B2" s="29"/>
      <c r="C2" s="29"/>
      <c r="D2" s="29"/>
      <c r="E2" s="29"/>
      <c r="F2" s="29"/>
    </row>
    <row r="3" spans="1:6" x14ac:dyDescent="0.3">
      <c r="A3" s="29"/>
      <c r="B3" s="29"/>
      <c r="C3" s="29"/>
      <c r="D3" s="29"/>
      <c r="E3" s="29"/>
      <c r="F3" s="29"/>
    </row>
    <row r="4" spans="1:6" x14ac:dyDescent="0.3">
      <c r="A4" s="29"/>
      <c r="B4" s="29"/>
      <c r="C4" s="29"/>
      <c r="D4" s="29"/>
      <c r="E4" s="29"/>
      <c r="F4" s="29"/>
    </row>
    <row r="5" spans="1:6" x14ac:dyDescent="0.3">
      <c r="A5" s="29"/>
      <c r="B5" s="29"/>
      <c r="C5" s="29"/>
      <c r="D5" s="29"/>
      <c r="E5" s="29"/>
      <c r="F5" s="29"/>
    </row>
    <row r="6" spans="1:6" ht="48" customHeight="1" x14ac:dyDescent="0.3"/>
    <row r="7" spans="1:6" ht="39.75" customHeight="1" x14ac:dyDescent="0.3">
      <c r="A7" s="33" t="s">
        <v>140</v>
      </c>
      <c r="B7" s="34" t="s">
        <v>141</v>
      </c>
      <c r="C7" s="34" t="s">
        <v>13</v>
      </c>
      <c r="D7" s="34" t="s">
        <v>142</v>
      </c>
      <c r="E7" s="34" t="s">
        <v>143</v>
      </c>
      <c r="F7" s="34" t="s">
        <v>144</v>
      </c>
    </row>
    <row r="8" spans="1:6" ht="24.75" customHeight="1" x14ac:dyDescent="0.3">
      <c r="A8" s="31">
        <v>46152</v>
      </c>
      <c r="B8" s="22" t="s">
        <v>145</v>
      </c>
      <c r="C8" s="22" t="s">
        <v>146</v>
      </c>
      <c r="D8" s="22" t="s">
        <v>147</v>
      </c>
      <c r="E8" s="22" t="s">
        <v>148</v>
      </c>
      <c r="F8" s="22" t="s">
        <v>149</v>
      </c>
    </row>
    <row r="9" spans="1:6" ht="23.25" customHeight="1" x14ac:dyDescent="0.3">
      <c r="A9" s="32">
        <v>46183</v>
      </c>
      <c r="B9" s="23" t="s">
        <v>150</v>
      </c>
      <c r="C9" s="23" t="s">
        <v>151</v>
      </c>
      <c r="D9" s="23" t="s">
        <v>152</v>
      </c>
      <c r="E9" s="23" t="s">
        <v>153</v>
      </c>
      <c r="F9" s="23" t="s">
        <v>154</v>
      </c>
    </row>
    <row r="10" spans="1:6" ht="27" customHeight="1" x14ac:dyDescent="0.3">
      <c r="A10" s="22" t="s">
        <v>69</v>
      </c>
      <c r="B10" s="22" t="s">
        <v>155</v>
      </c>
      <c r="C10" s="22" t="s">
        <v>146</v>
      </c>
      <c r="D10" s="22" t="s">
        <v>156</v>
      </c>
      <c r="E10" s="22" t="s">
        <v>157</v>
      </c>
      <c r="F10" s="22" t="s">
        <v>149</v>
      </c>
    </row>
    <row r="11" spans="1:6" ht="24.75" customHeight="1" x14ac:dyDescent="0.3">
      <c r="A11" s="23" t="s">
        <v>76</v>
      </c>
      <c r="B11" s="23" t="s">
        <v>158</v>
      </c>
      <c r="C11" s="23" t="s">
        <v>146</v>
      </c>
      <c r="D11" s="23" t="s">
        <v>159</v>
      </c>
      <c r="E11" s="23" t="s">
        <v>160</v>
      </c>
      <c r="F11" s="23" t="s">
        <v>149</v>
      </c>
    </row>
    <row r="12" spans="1:6" ht="25.5" customHeight="1" x14ac:dyDescent="0.3">
      <c r="A12" s="22" t="s">
        <v>87</v>
      </c>
      <c r="B12" s="22" t="s">
        <v>161</v>
      </c>
      <c r="C12" s="22" t="s">
        <v>146</v>
      </c>
      <c r="D12" s="22" t="s">
        <v>162</v>
      </c>
      <c r="E12" s="22" t="s">
        <v>163</v>
      </c>
      <c r="F12" s="22" t="s">
        <v>149</v>
      </c>
    </row>
    <row r="13" spans="1:6" ht="33.75" customHeight="1" x14ac:dyDescent="0.3">
      <c r="A13" s="23" t="s">
        <v>98</v>
      </c>
      <c r="B13" s="23" t="s">
        <v>164</v>
      </c>
      <c r="C13" s="23" t="s">
        <v>146</v>
      </c>
      <c r="D13" s="23" t="s">
        <v>165</v>
      </c>
      <c r="E13" s="23" t="s">
        <v>166</v>
      </c>
      <c r="F13" s="23" t="s">
        <v>149</v>
      </c>
    </row>
    <row r="14" spans="1:6" ht="25.5" customHeight="1" x14ac:dyDescent="0.3">
      <c r="A14" s="22" t="s">
        <v>104</v>
      </c>
      <c r="B14" s="22" t="s">
        <v>167</v>
      </c>
      <c r="C14" s="22" t="s">
        <v>146</v>
      </c>
      <c r="D14" s="22" t="s">
        <v>168</v>
      </c>
      <c r="E14" s="22" t="s">
        <v>169</v>
      </c>
      <c r="F14" s="22" t="s">
        <v>149</v>
      </c>
    </row>
    <row r="15" spans="1:6" ht="36" customHeight="1" x14ac:dyDescent="0.3">
      <c r="A15" s="23" t="s">
        <v>112</v>
      </c>
      <c r="B15" s="23" t="s">
        <v>170</v>
      </c>
      <c r="C15" s="23" t="s">
        <v>171</v>
      </c>
      <c r="D15" s="23" t="s">
        <v>172</v>
      </c>
      <c r="E15" s="23" t="s">
        <v>173</v>
      </c>
      <c r="F15" s="23" t="s">
        <v>149</v>
      </c>
    </row>
  </sheetData>
  <mergeCells count="1">
    <mergeCell ref="A1:F5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5F92-EC50-4880-ADE5-751314541B72}">
  <sheetPr>
    <tabColor theme="6" tint="0.39997558519241921"/>
  </sheetPr>
  <dimension ref="A1:I23"/>
  <sheetViews>
    <sheetView zoomScale="85" zoomScaleNormal="85" workbookViewId="0">
      <selection activeCell="K20" sqref="K20"/>
    </sheetView>
  </sheetViews>
  <sheetFormatPr defaultRowHeight="14.4" x14ac:dyDescent="0.3"/>
  <cols>
    <col min="1" max="1" width="27" customWidth="1"/>
    <col min="2" max="5" width="17.109375" bestFit="1" customWidth="1"/>
    <col min="6" max="6" width="21.88671875" bestFit="1" customWidth="1"/>
    <col min="7" max="7" width="22" bestFit="1" customWidth="1"/>
    <col min="8" max="8" width="31" customWidth="1"/>
    <col min="9" max="9" width="12.6640625" bestFit="1" customWidth="1"/>
  </cols>
  <sheetData>
    <row r="1" spans="1:9" x14ac:dyDescent="0.3">
      <c r="A1" s="29" t="s">
        <v>174</v>
      </c>
      <c r="B1" s="29"/>
      <c r="C1" s="29"/>
      <c r="D1" s="29"/>
      <c r="E1" s="29"/>
      <c r="F1" s="29"/>
      <c r="G1" s="29"/>
      <c r="H1" s="29"/>
      <c r="I1" s="29"/>
    </row>
    <row r="2" spans="1:9" x14ac:dyDescent="0.3">
      <c r="A2" s="29"/>
      <c r="B2" s="29"/>
      <c r="C2" s="29"/>
      <c r="D2" s="29"/>
      <c r="E2" s="29"/>
      <c r="F2" s="29"/>
      <c r="G2" s="29"/>
      <c r="H2" s="29"/>
      <c r="I2" s="29"/>
    </row>
    <row r="3" spans="1:9" x14ac:dyDescent="0.3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3">
      <c r="A4" s="29"/>
      <c r="B4" s="29"/>
      <c r="C4" s="29"/>
      <c r="D4" s="29"/>
      <c r="E4" s="29"/>
      <c r="F4" s="29"/>
      <c r="G4" s="29"/>
      <c r="H4" s="29"/>
      <c r="I4" s="29"/>
    </row>
    <row r="5" spans="1:9" x14ac:dyDescent="0.3">
      <c r="A5" s="29"/>
      <c r="B5" s="29"/>
      <c r="C5" s="29"/>
      <c r="D5" s="29"/>
      <c r="E5" s="29"/>
      <c r="F5" s="29"/>
      <c r="G5" s="29"/>
      <c r="H5" s="29"/>
      <c r="I5" s="29"/>
    </row>
    <row r="7" spans="1:9" ht="40.950000000000003" customHeight="1" x14ac:dyDescent="0.3">
      <c r="A7" s="8" t="s">
        <v>175</v>
      </c>
      <c r="B7" s="10" t="s">
        <v>176</v>
      </c>
      <c r="C7" s="10" t="s">
        <v>177</v>
      </c>
      <c r="D7" s="10" t="s">
        <v>178</v>
      </c>
      <c r="E7" s="10" t="s">
        <v>179</v>
      </c>
      <c r="F7" s="10" t="s">
        <v>180</v>
      </c>
      <c r="G7" s="10" t="s">
        <v>181</v>
      </c>
      <c r="H7" s="10" t="s">
        <v>182</v>
      </c>
      <c r="I7" s="10" t="s">
        <v>183</v>
      </c>
    </row>
    <row r="8" spans="1:9" x14ac:dyDescent="0.3">
      <c r="A8" s="2" t="s">
        <v>184</v>
      </c>
      <c r="B8" s="2">
        <v>45</v>
      </c>
      <c r="C8" s="2">
        <v>60</v>
      </c>
      <c r="D8" s="2">
        <v>55</v>
      </c>
      <c r="E8" s="2">
        <v>50</v>
      </c>
      <c r="F8" s="11">
        <f t="shared" ref="F8:F14" si="0">SUM(B8:E8)</f>
        <v>210</v>
      </c>
      <c r="G8" s="11">
        <v>180</v>
      </c>
      <c r="H8" s="13">
        <f t="shared" ref="H8:H14" si="1">F8/G8</f>
        <v>1.1666666666666667</v>
      </c>
      <c r="I8" s="11" t="str">
        <f t="shared" ref="I8:I14" si="2">IF(F8&gt;=G8, "Meta Atingida", "Abaixo da Meta")</f>
        <v>Meta Atingida</v>
      </c>
    </row>
    <row r="9" spans="1:9" x14ac:dyDescent="0.3">
      <c r="A9" s="6" t="s">
        <v>185</v>
      </c>
      <c r="B9" s="6">
        <v>30</v>
      </c>
      <c r="C9" s="6">
        <v>45</v>
      </c>
      <c r="D9" s="6">
        <v>40</v>
      </c>
      <c r="E9" s="6">
        <v>35</v>
      </c>
      <c r="F9" s="12">
        <f t="shared" si="0"/>
        <v>150</v>
      </c>
      <c r="G9" s="12">
        <v>120</v>
      </c>
      <c r="H9" s="14">
        <f t="shared" si="1"/>
        <v>1.25</v>
      </c>
      <c r="I9" s="12" t="str">
        <f t="shared" si="2"/>
        <v>Meta Atingida</v>
      </c>
    </row>
    <row r="10" spans="1:9" x14ac:dyDescent="0.3">
      <c r="A10" s="2" t="s">
        <v>186</v>
      </c>
      <c r="B10" s="2">
        <v>25</v>
      </c>
      <c r="C10" s="2">
        <v>35</v>
      </c>
      <c r="D10" s="2">
        <v>30</v>
      </c>
      <c r="E10" s="2">
        <v>30</v>
      </c>
      <c r="F10" s="11">
        <f t="shared" si="0"/>
        <v>120</v>
      </c>
      <c r="G10" s="11">
        <v>100</v>
      </c>
      <c r="H10" s="13">
        <f t="shared" si="1"/>
        <v>1.2</v>
      </c>
      <c r="I10" s="11" t="str">
        <f t="shared" si="2"/>
        <v>Meta Atingida</v>
      </c>
    </row>
    <row r="11" spans="1:9" x14ac:dyDescent="0.3">
      <c r="A11" s="6" t="s">
        <v>187</v>
      </c>
      <c r="B11" s="6">
        <v>15</v>
      </c>
      <c r="C11" s="6">
        <v>25</v>
      </c>
      <c r="D11" s="6">
        <v>20</v>
      </c>
      <c r="E11" s="6">
        <v>25</v>
      </c>
      <c r="F11" s="12">
        <f t="shared" si="0"/>
        <v>85</v>
      </c>
      <c r="G11" s="12">
        <v>80</v>
      </c>
      <c r="H11" s="14">
        <f t="shared" si="1"/>
        <v>1.0625</v>
      </c>
      <c r="I11" s="12" t="str">
        <f t="shared" si="2"/>
        <v>Meta Atingida</v>
      </c>
    </row>
    <row r="12" spans="1:9" x14ac:dyDescent="0.3">
      <c r="A12" s="2" t="s">
        <v>188</v>
      </c>
      <c r="B12" s="2">
        <v>20</v>
      </c>
      <c r="C12" s="2">
        <v>30</v>
      </c>
      <c r="D12" s="2">
        <v>25</v>
      </c>
      <c r="E12" s="2">
        <v>20</v>
      </c>
      <c r="F12" s="11">
        <f t="shared" si="0"/>
        <v>95</v>
      </c>
      <c r="G12" s="11">
        <v>80</v>
      </c>
      <c r="H12" s="13">
        <f t="shared" si="1"/>
        <v>1.1875</v>
      </c>
      <c r="I12" s="11" t="str">
        <f t="shared" si="2"/>
        <v>Meta Atingida</v>
      </c>
    </row>
    <row r="13" spans="1:9" x14ac:dyDescent="0.3">
      <c r="A13" s="6" t="s">
        <v>189</v>
      </c>
      <c r="B13" s="6">
        <v>10</v>
      </c>
      <c r="C13" s="6">
        <v>20</v>
      </c>
      <c r="D13" s="6">
        <v>15</v>
      </c>
      <c r="E13" s="6">
        <v>15</v>
      </c>
      <c r="F13" s="12">
        <f t="shared" si="0"/>
        <v>60</v>
      </c>
      <c r="G13" s="12">
        <v>40</v>
      </c>
      <c r="H13" s="14">
        <f t="shared" si="1"/>
        <v>1.5</v>
      </c>
      <c r="I13" s="12" t="str">
        <f t="shared" si="2"/>
        <v>Meta Atingida</v>
      </c>
    </row>
    <row r="14" spans="1:9" x14ac:dyDescent="0.3">
      <c r="A14" t="s">
        <v>190</v>
      </c>
      <c r="B14" s="9">
        <f t="shared" ref="B14:G14" si="3">SUBTOTAL(109,B8:B13)</f>
        <v>145</v>
      </c>
      <c r="C14" s="9">
        <f t="shared" si="3"/>
        <v>215</v>
      </c>
      <c r="D14" s="9">
        <f t="shared" si="3"/>
        <v>185</v>
      </c>
      <c r="E14" s="9">
        <f t="shared" si="3"/>
        <v>175</v>
      </c>
      <c r="F14" s="15">
        <f t="shared" si="0"/>
        <v>720</v>
      </c>
      <c r="G14" s="15">
        <f t="shared" si="3"/>
        <v>600</v>
      </c>
      <c r="H14" s="16">
        <f t="shared" si="1"/>
        <v>1.2</v>
      </c>
      <c r="I14" s="12" t="str">
        <f t="shared" si="2"/>
        <v>Meta Atingida</v>
      </c>
    </row>
    <row r="16" spans="1:9" x14ac:dyDescent="0.3">
      <c r="A16" s="30" t="s">
        <v>191</v>
      </c>
      <c r="B16" s="30"/>
      <c r="C16" s="30"/>
      <c r="D16" s="30"/>
      <c r="E16" s="30"/>
      <c r="F16" s="30"/>
      <c r="G16" s="30"/>
      <c r="H16" s="30"/>
      <c r="I16" s="30"/>
    </row>
    <row r="17" spans="1:9" x14ac:dyDescent="0.3">
      <c r="A17" s="30"/>
      <c r="B17" s="30"/>
      <c r="C17" s="30"/>
      <c r="D17" s="30"/>
      <c r="E17" s="30"/>
      <c r="F17" s="30"/>
      <c r="G17" s="30"/>
      <c r="H17" s="30"/>
      <c r="I17" s="30"/>
    </row>
    <row r="18" spans="1:9" ht="15" thickBot="1" x14ac:dyDescent="0.35">
      <c r="A18" s="2"/>
    </row>
    <row r="19" spans="1:9" ht="26.4" customHeight="1" thickBot="1" x14ac:dyDescent="0.35">
      <c r="A19" s="8" t="s">
        <v>175</v>
      </c>
      <c r="B19" s="19" t="s">
        <v>192</v>
      </c>
      <c r="C19" s="19" t="s">
        <v>193</v>
      </c>
      <c r="D19" s="19" t="s">
        <v>194</v>
      </c>
      <c r="E19" s="19" t="s">
        <v>195</v>
      </c>
      <c r="F19" s="19" t="s">
        <v>196</v>
      </c>
      <c r="G19" s="24" t="s">
        <v>197</v>
      </c>
      <c r="H19" s="19" t="s">
        <v>198</v>
      </c>
    </row>
    <row r="20" spans="1:9" ht="27.6" x14ac:dyDescent="0.3">
      <c r="A20" s="17" t="s">
        <v>199</v>
      </c>
      <c r="B20" s="11">
        <v>62</v>
      </c>
      <c r="C20" s="11">
        <v>98</v>
      </c>
      <c r="D20" s="11">
        <v>84</v>
      </c>
      <c r="E20" s="11">
        <v>76</v>
      </c>
      <c r="F20" s="11">
        <v>320</v>
      </c>
      <c r="G20" s="11">
        <v>250</v>
      </c>
      <c r="H20" s="2" t="s">
        <v>200</v>
      </c>
    </row>
    <row r="21" spans="1:9" ht="27.6" x14ac:dyDescent="0.3">
      <c r="A21" s="18" t="s">
        <v>201</v>
      </c>
      <c r="B21" s="20">
        <v>0.19</v>
      </c>
      <c r="C21" s="20">
        <v>0.31</v>
      </c>
      <c r="D21" s="20">
        <v>0.26</v>
      </c>
      <c r="E21" s="20">
        <v>0.24</v>
      </c>
      <c r="F21" s="20">
        <v>0.8</v>
      </c>
      <c r="G21" s="20">
        <v>0.75</v>
      </c>
      <c r="H21" s="6" t="s">
        <v>202</v>
      </c>
    </row>
    <row r="22" spans="1:9" ht="27.6" x14ac:dyDescent="0.3">
      <c r="A22" s="17" t="s">
        <v>203</v>
      </c>
      <c r="B22" s="21">
        <v>1</v>
      </c>
      <c r="C22" s="21">
        <v>1</v>
      </c>
      <c r="D22" s="21">
        <v>1</v>
      </c>
      <c r="E22" s="21">
        <v>1</v>
      </c>
      <c r="F22" s="21">
        <v>1</v>
      </c>
      <c r="G22" s="21">
        <v>1</v>
      </c>
      <c r="H22" s="2" t="s">
        <v>204</v>
      </c>
    </row>
    <row r="23" spans="1:9" ht="27.6" x14ac:dyDescent="0.3">
      <c r="A23" s="18" t="s">
        <v>205</v>
      </c>
      <c r="B23" s="12">
        <v>0</v>
      </c>
      <c r="C23" s="12">
        <v>1</v>
      </c>
      <c r="D23" s="12">
        <v>0</v>
      </c>
      <c r="E23" s="12">
        <v>0</v>
      </c>
      <c r="F23" s="12">
        <v>1</v>
      </c>
      <c r="G23" s="12">
        <v>0</v>
      </c>
      <c r="H23" s="6" t="s">
        <v>206</v>
      </c>
    </row>
  </sheetData>
  <mergeCells count="2">
    <mergeCell ref="A1:I5"/>
    <mergeCell ref="A16:I17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8E6C6D03AE347A368A11918C61DD4" ma:contentTypeVersion="5" ma:contentTypeDescription="Create a new document." ma:contentTypeScope="" ma:versionID="7b34567bbf23615d0e1be858ded8cde8">
  <xsd:schema xmlns:xsd="http://www.w3.org/2001/XMLSchema" xmlns:xs="http://www.w3.org/2001/XMLSchema" xmlns:p="http://schemas.microsoft.com/office/2006/metadata/properties" xmlns:ns3="468f049a-850a-4011-9f9f-69d93554a00c" targetNamespace="http://schemas.microsoft.com/office/2006/metadata/properties" ma:root="true" ma:fieldsID="53d1ab93ef75d58eea5c65c45117e69c" ns3:_="">
    <xsd:import namespace="468f049a-850a-4011-9f9f-69d93554a0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8f049a-850a-4011-9f9f-69d93554a0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8f049a-850a-4011-9f9f-69d93554a00c" xsi:nil="true"/>
  </documentManagement>
</p:properties>
</file>

<file path=customXml/itemProps1.xml><?xml version="1.0" encoding="utf-8"?>
<ds:datastoreItem xmlns:ds="http://schemas.openxmlformats.org/officeDocument/2006/customXml" ds:itemID="{D33A74C1-4D04-491B-B92C-F3CB1480F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8f049a-850a-4011-9f9f-69d93554a0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656BB3-4CEB-4E8B-9EAA-C5393F9EA6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3615D-26BD-4477-9ED2-91C35C4E2770}">
  <ds:schemaRefs>
    <ds:schemaRef ds:uri="468f049a-850a-4011-9f9f-69d93554a00c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Planejamento</vt:lpstr>
      <vt:lpstr>Organização</vt:lpstr>
      <vt:lpstr>Direção</vt:lpstr>
      <vt:lpstr>Controle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Luis Fiala Carneiro</dc:creator>
  <cp:keywords/>
  <dc:description/>
  <cp:lastModifiedBy>Matheus Luis Fiala Carneiro</cp:lastModifiedBy>
  <cp:revision/>
  <dcterms:created xsi:type="dcterms:W3CDTF">2026-09-02T17:25:30Z</dcterms:created>
  <dcterms:modified xsi:type="dcterms:W3CDTF">2026-09-02T18:38:35Z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0x010100B1D8E6C6D03AE347A368A11918C61DD4</vt:lpwstr>
  </property>
</Properties>
</file>